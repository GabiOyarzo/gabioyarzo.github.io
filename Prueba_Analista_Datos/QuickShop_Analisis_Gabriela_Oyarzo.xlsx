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abif\Desktop\FundamentosAnalisisDeDatos_SENCE\AnalisisDeDatos\Prueba_Analista_Datos\"/>
    </mc:Choice>
  </mc:AlternateContent>
  <xr:revisionPtr revIDLastSave="0" documentId="13_ncr:1_{44EFFD11-672D-4C07-B725-47B9B4189D44}" xr6:coauthVersionLast="47" xr6:coauthVersionMax="47" xr10:uidLastSave="{00000000-0000-0000-0000-000000000000}"/>
  <bookViews>
    <workbookView xWindow="-20520" yWindow="-120" windowWidth="20640" windowHeight="11760" firstSheet="1" activeTab="3" xr2:uid="{68B37E55-7DB6-42DD-AD83-B07BD4FCDCD6}"/>
  </bookViews>
  <sheets>
    <sheet name="Ventas_Limpias" sheetId="2" r:id="rId1"/>
    <sheet name="Analisis_Ventas" sheetId="3" r:id="rId2"/>
    <sheet name="Dashboard" sheetId="4" r:id="rId3"/>
    <sheet name="Conclusiones" sheetId="6" r:id="rId4"/>
  </sheets>
  <calcPr calcId="191029"/>
  <pivotCaches>
    <pivotCache cacheId="39"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C18" i="3"/>
  <c r="B12" i="3" a="1"/>
  <c r="B12" i="3" s="1"/>
  <c r="C12" i="3" s="1"/>
  <c r="B4" i="3" a="1"/>
  <c r="B4" i="3" s="1"/>
  <c r="C4" i="3" s="1"/>
  <c r="C5" i="3" l="1"/>
  <c r="C6" i="3"/>
  <c r="C7" i="3"/>
  <c r="C1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<sst xmlns="http://schemas.openxmlformats.org/spreadsheetml/2006/main" count="189" uniqueCount="91">
  <si>
    <t>ID_Transaccion</t>
  </si>
  <si>
    <t>Fecha</t>
  </si>
  <si>
    <t>Categoria</t>
  </si>
  <si>
    <t>Producto</t>
  </si>
  <si>
    <t>Precio</t>
  </si>
  <si>
    <t>Canal</t>
  </si>
  <si>
    <t>Region</t>
  </si>
  <si>
    <t>VT001</t>
  </si>
  <si>
    <t>Audífonos Bluetooth</t>
  </si>
  <si>
    <t>Metropolitana</t>
  </si>
  <si>
    <t>VT002</t>
  </si>
  <si>
    <t>Aspiradora Robot</t>
  </si>
  <si>
    <t>App</t>
  </si>
  <si>
    <t>Valparaíso</t>
  </si>
  <si>
    <t>VT003</t>
  </si>
  <si>
    <t>Zapatillas Running</t>
  </si>
  <si>
    <t>VT004</t>
  </si>
  <si>
    <t>Deportes</t>
  </si>
  <si>
    <t>Pelota de Fútbol</t>
  </si>
  <si>
    <t>Biobío</t>
  </si>
  <si>
    <t>VT005</t>
  </si>
  <si>
    <t>Mouse Gaming</t>
  </si>
  <si>
    <t>VT006</t>
  </si>
  <si>
    <t>Juego de Sábanas</t>
  </si>
  <si>
    <t>VT007</t>
  </si>
  <si>
    <t>Moda</t>
  </si>
  <si>
    <t>Chaqueta Invierno</t>
  </si>
  <si>
    <t>Web</t>
  </si>
  <si>
    <t>Araucanía</t>
  </si>
  <si>
    <t>VT008</t>
  </si>
  <si>
    <t>Bicicleta MTB</t>
  </si>
  <si>
    <t>VT009</t>
  </si>
  <si>
    <t>Electrónica</t>
  </si>
  <si>
    <t>Smart TV 55"</t>
  </si>
  <si>
    <t>VT010</t>
  </si>
  <si>
    <t>Jeans Slim Fit</t>
  </si>
  <si>
    <t>VT011</t>
  </si>
  <si>
    <t>Microondas Digital</t>
  </si>
  <si>
    <t>Coquimbo</t>
  </si>
  <si>
    <t>VT012</t>
  </si>
  <si>
    <t>Pesas Ajustables</t>
  </si>
  <si>
    <t>VT013</t>
  </si>
  <si>
    <t>Tablet 10"</t>
  </si>
  <si>
    <t>VT014</t>
  </si>
  <si>
    <t>Cartera Cuero</t>
  </si>
  <si>
    <t>VT015</t>
  </si>
  <si>
    <t>Cafetera Express</t>
  </si>
  <si>
    <t>VT016</t>
  </si>
  <si>
    <t>Cuerda para Saltar</t>
  </si>
  <si>
    <t>VT017</t>
  </si>
  <si>
    <t>Cargador Inalámbrico</t>
  </si>
  <si>
    <t>VT018</t>
  </si>
  <si>
    <t>Reloj Deportivo</t>
  </si>
  <si>
    <t>VT019</t>
  </si>
  <si>
    <t>Set Ollas Acero</t>
  </si>
  <si>
    <t>VT020</t>
  </si>
  <si>
    <t>Colchoneta Yoga</t>
  </si>
  <si>
    <t>VT021</t>
  </si>
  <si>
    <t>Teclado Mecánico</t>
  </si>
  <si>
    <t>VT022</t>
  </si>
  <si>
    <t>Mochila Laptop</t>
  </si>
  <si>
    <t>VT023</t>
  </si>
  <si>
    <t>Ventilador Torre</t>
  </si>
  <si>
    <t>VT024</t>
  </si>
  <si>
    <t>Guantes Gimnasio</t>
  </si>
  <si>
    <t>VT025</t>
  </si>
  <si>
    <t>Parlante Bluetooth</t>
  </si>
  <si>
    <t>VT026</t>
  </si>
  <si>
    <t>Polera Deportiva</t>
  </si>
  <si>
    <t>VT027</t>
  </si>
  <si>
    <t>Hogar</t>
  </si>
  <si>
    <t>Plancha Vapor</t>
  </si>
  <si>
    <t>VT028</t>
  </si>
  <si>
    <t>Bolso Deporte</t>
  </si>
  <si>
    <t>VT029</t>
  </si>
  <si>
    <t>Webcam HD</t>
  </si>
  <si>
    <t>VT030</t>
  </si>
  <si>
    <t>Gorro Invierno</t>
  </si>
  <si>
    <t>No especificado</t>
  </si>
  <si>
    <t>Total Ventas</t>
  </si>
  <si>
    <t>Ventas Totales</t>
  </si>
  <si>
    <t>Total</t>
  </si>
  <si>
    <t>Ticket Promedio</t>
  </si>
  <si>
    <t>Valor Promedio</t>
  </si>
  <si>
    <t>Transacciones promedio</t>
  </si>
  <si>
    <t>Condicion</t>
  </si>
  <si>
    <t>Cantidad</t>
  </si>
  <si>
    <t>&gt; $50.000</t>
  </si>
  <si>
    <t>Clasificacion_Ventas</t>
  </si>
  <si>
    <t>(Todas)</t>
  </si>
  <si>
    <t>Meses (Fecha)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</si>
</sst>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165" formatCode="&quot;$&quot;#,##0"/>
    <numFmt numFmtId="168" formatCode="_ [$$-340A]* #,##0_ ;_ [$$-340A]* \-#,##0_ ;_ [$$-340A]* &quot;-&quot;??_ ;_ @_ "/>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9"/>
        <bgColor theme="9"/>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41" fontId="1" fillId="0" borderId="0" applyFont="0" applyFill="0" applyBorder="0" applyAlignment="0" applyProtection="0"/>
    <xf numFmtId="42" fontId="1" fillId="0" borderId="0" applyFont="0" applyFill="0" applyBorder="0" applyAlignment="0" applyProtection="0"/>
  </cellStyleXfs>
  <cellXfs count="20">
    <xf numFmtId="0" fontId="0" fillId="0" borderId="0" xfId="0"/>
    <xf numFmtId="0" fontId="0" fillId="0" borderId="0" xfId="0" applyAlignment="1">
      <alignment horizontal="center" vertical="center"/>
    </xf>
    <xf numFmtId="0" fontId="0" fillId="0" borderId="0" xfId="0" applyNumberFormat="1" applyAlignment="1">
      <alignment horizontal="center" vertical="center"/>
    </xf>
    <xf numFmtId="14" fontId="0" fillId="0" borderId="0" xfId="0" applyNumberForma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2" fillId="2" borderId="9"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xf>
    <xf numFmtId="42" fontId="0" fillId="0" borderId="6" xfId="2" applyFont="1" applyBorder="1" applyAlignment="1">
      <alignment horizontal="center" vertical="center"/>
    </xf>
    <xf numFmtId="42" fontId="0" fillId="0" borderId="11" xfId="2" applyFont="1" applyBorder="1" applyAlignment="1">
      <alignment horizontal="center" vertical="center"/>
    </xf>
    <xf numFmtId="0" fontId="0" fillId="0" borderId="10" xfId="0" applyBorder="1" applyAlignment="1">
      <alignment horizontal="center" vertical="center"/>
    </xf>
    <xf numFmtId="41" fontId="0" fillId="0" borderId="1" xfId="1" applyFont="1" applyBorder="1" applyAlignment="1">
      <alignment horizontal="center" vertical="center"/>
    </xf>
    <xf numFmtId="49" fontId="0" fillId="0" borderId="0" xfId="0" applyNumberFormat="1" applyAlignment="1">
      <alignment horizontal="center" vertical="center"/>
    </xf>
    <xf numFmtId="0" fontId="0" fillId="0" borderId="0" xfId="0" pivotButton="1" applyAlignment="1">
      <alignment horizontal="center" vertical="center"/>
    </xf>
    <xf numFmtId="165" fontId="0" fillId="0" borderId="0" xfId="2" applyNumberFormat="1" applyFont="1" applyAlignment="1">
      <alignment horizontal="center" vertical="center"/>
    </xf>
    <xf numFmtId="168" fontId="0" fillId="0" borderId="8" xfId="2" applyNumberFormat="1" applyFont="1" applyBorder="1" applyAlignment="1">
      <alignment horizontal="center" vertical="center"/>
    </xf>
  </cellXfs>
  <cellStyles count="3">
    <cellStyle name="Millares [0]" xfId="1" builtinId="6"/>
    <cellStyle name="Moneda [0]" xfId="2" builtinId="7"/>
    <cellStyle name="Normal" xfId="0" builtinId="0"/>
  </cellStyles>
  <dxfs count="186">
    <dxf>
      <numFmt numFmtId="165" formatCode="&quot;$&quot;#,##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pivotSource>
    <c:name>[QuickShop_Analisis_Gabriela_Oyarzo.xlsx]Dashboard!TablaDinámica</c:name>
    <c:fmtId val="1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CL"/>
              <a:t>Ventas</a:t>
            </a:r>
            <a:r>
              <a:rPr lang="es-CL" baseline="0"/>
              <a:t> por Categoría</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ivotFmts>
      <c:pivotFmt>
        <c:idx val="0"/>
        <c:spPr>
          <a:solidFill>
            <a:schemeClr val="accent5"/>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Dashboard!$D$5</c:f>
              <c:strCache>
                <c:ptCount val="1"/>
                <c:pt idx="0">
                  <c:v>Total</c:v>
                </c:pt>
              </c:strCache>
            </c:strRef>
          </c:tx>
          <c:spPr>
            <a:solidFill>
              <a:schemeClr val="accent5"/>
            </a:solidFill>
            <a:ln>
              <a:noFill/>
            </a:ln>
            <a:effectLst/>
          </c:spPr>
          <c:invertIfNegative val="0"/>
          <c:cat>
            <c:multiLvlStrRef>
              <c:f>Dashboard!$B$6:$C$13</c:f>
              <c:multiLvlStrCache>
                <c:ptCount val="8"/>
                <c:lvl>
                  <c:pt idx="0">
                    <c:v>Deportes</c:v>
                  </c:pt>
                  <c:pt idx="1">
                    <c:v>Electrónica</c:v>
                  </c:pt>
                  <c:pt idx="2">
                    <c:v>Hogar</c:v>
                  </c:pt>
                  <c:pt idx="3">
                    <c:v>Moda</c:v>
                  </c:pt>
                  <c:pt idx="4">
                    <c:v>Deportes</c:v>
                  </c:pt>
                  <c:pt idx="5">
                    <c:v>Electrónica</c:v>
                  </c:pt>
                  <c:pt idx="6">
                    <c:v>Hogar</c:v>
                  </c:pt>
                  <c:pt idx="7">
                    <c:v>Moda</c:v>
                  </c:pt>
                </c:lvl>
                <c:lvl>
                  <c:pt idx="0">
                    <c:v>App</c:v>
                  </c:pt>
                  <c:pt idx="4">
                    <c:v>Web</c:v>
                  </c:pt>
                </c:lvl>
              </c:multiLvlStrCache>
            </c:multiLvlStrRef>
          </c:cat>
          <c:val>
            <c:numRef>
              <c:f>Dashboard!$D$6:$D$13</c:f>
              <c:numCache>
                <c:formatCode>General</c:formatCode>
                <c:ptCount val="8"/>
                <c:pt idx="0">
                  <c:v>6</c:v>
                </c:pt>
                <c:pt idx="1">
                  <c:v>1</c:v>
                </c:pt>
                <c:pt idx="2">
                  <c:v>3</c:v>
                </c:pt>
                <c:pt idx="3">
                  <c:v>5</c:v>
                </c:pt>
                <c:pt idx="4">
                  <c:v>1</c:v>
                </c:pt>
                <c:pt idx="5">
                  <c:v>7</c:v>
                </c:pt>
                <c:pt idx="6">
                  <c:v>4</c:v>
                </c:pt>
                <c:pt idx="7">
                  <c:v>3</c:v>
                </c:pt>
              </c:numCache>
            </c:numRef>
          </c:val>
          <c:extLst>
            <c:ext xmlns:c16="http://schemas.microsoft.com/office/drawing/2014/chart" uri="{C3380CC4-5D6E-409C-BE32-E72D297353CC}">
              <c16:uniqueId val="{00000000-0CA7-4FE9-BADE-D40A15A8DBC5}"/>
            </c:ext>
          </c:extLst>
        </c:ser>
        <c:dLbls>
          <c:showLegendKey val="0"/>
          <c:showVal val="0"/>
          <c:showCatName val="0"/>
          <c:showSerName val="0"/>
          <c:showPercent val="0"/>
          <c:showBubbleSize val="0"/>
        </c:dLbls>
        <c:gapWidth val="267"/>
        <c:overlap val="-43"/>
        <c:axId val="2086063999"/>
        <c:axId val="2086071199"/>
      </c:barChart>
      <c:catAx>
        <c:axId val="208606399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CL"/>
                  <a:t>Categoría por Canal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2086071199"/>
        <c:crosses val="autoZero"/>
        <c:auto val="1"/>
        <c:lblAlgn val="ctr"/>
        <c:lblOffset val="100"/>
        <c:noMultiLvlLbl val="0"/>
      </c:catAx>
      <c:valAx>
        <c:axId val="2086071199"/>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CL"/>
                  <a:t>Cantidad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208606399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647700</xdr:colOff>
      <xdr:row>1</xdr:row>
      <xdr:rowOff>83820</xdr:rowOff>
    </xdr:from>
    <xdr:to>
      <xdr:col>15</xdr:col>
      <xdr:colOff>15240</xdr:colOff>
      <xdr:row>24</xdr:row>
      <xdr:rowOff>68580</xdr:rowOff>
    </xdr:to>
    <xdr:graphicFrame macro="">
      <xdr:nvGraphicFramePr>
        <xdr:cNvPr id="8" name="Gráfico 7">
          <a:extLst>
            <a:ext uri="{FF2B5EF4-FFF2-40B4-BE49-F238E27FC236}">
              <a16:creationId xmlns:a16="http://schemas.microsoft.com/office/drawing/2014/main" id="{2CCB6D08-156A-4E53-B182-EB5F7626A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1</xdr:row>
      <xdr:rowOff>49530</xdr:rowOff>
    </xdr:from>
    <xdr:to>
      <xdr:col>7</xdr:col>
      <xdr:colOff>15240</xdr:colOff>
      <xdr:row>28</xdr:row>
      <xdr:rowOff>28575</xdr:rowOff>
    </xdr:to>
    <xdr:sp macro="" textlink="">
      <xdr:nvSpPr>
        <xdr:cNvPr id="3" name="CuadroTexto 2">
          <a:extLst>
            <a:ext uri="{FF2B5EF4-FFF2-40B4-BE49-F238E27FC236}">
              <a16:creationId xmlns:a16="http://schemas.microsoft.com/office/drawing/2014/main" id="{18754B26-BE1D-55C0-3417-0581F04DF39F}"/>
            </a:ext>
          </a:extLst>
        </xdr:cNvPr>
        <xdr:cNvSpPr txBox="1"/>
      </xdr:nvSpPr>
      <xdr:spPr>
        <a:xfrm>
          <a:off x="786765" y="230505"/>
          <a:ext cx="5362575" cy="4865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L" sz="1100" b="0" i="0" u="none" strike="noStrike" baseline="0">
            <a:solidFill>
              <a:schemeClr val="dk1"/>
            </a:solidFill>
            <a:latin typeface="+mn-lt"/>
            <a:ea typeface="+mn-ea"/>
            <a:cs typeface="+mn-cs"/>
          </a:endParaRPr>
        </a:p>
        <a:p>
          <a:pPr algn="l"/>
          <a:r>
            <a:rPr lang="es-CL" sz="1400" b="1" i="0" u="none" strike="noStrike" baseline="0">
              <a:solidFill>
                <a:schemeClr val="dk1"/>
              </a:solidFill>
              <a:latin typeface="+mn-lt"/>
              <a:ea typeface="+mn-ea"/>
              <a:cs typeface="+mn-cs"/>
            </a:rPr>
            <a:t> Insights y recomendaciones </a:t>
          </a:r>
        </a:p>
        <a:p>
          <a:pPr algn="l"/>
          <a:endParaRPr lang="es-CL" sz="1400" b="1" i="0" u="none" strike="noStrike" baseline="0">
            <a:solidFill>
              <a:schemeClr val="dk1"/>
            </a:solidFill>
            <a:latin typeface="+mn-lt"/>
            <a:ea typeface="+mn-ea"/>
            <a:cs typeface="+mn-cs"/>
          </a:endParaRPr>
        </a:p>
        <a:p>
          <a:r>
            <a:rPr lang="es-CL" sz="1200">
              <a:solidFill>
                <a:schemeClr val="dk1"/>
              </a:solidFill>
              <a:effectLst/>
              <a:latin typeface="+mn-lt"/>
              <a:ea typeface="+mn-ea"/>
              <a:cs typeface="+mn-cs"/>
            </a:rPr>
            <a:t>Al analizar los datos, la categoría que genera mayores ingresos es Electrónica ($935.000), liderando principalmente a través del canal Web. Respecto a los tickets de compra, se observa el patrón de que el canal Web mantiene un ticket promedio mayor, mientras que la App tiende a concentrar compras en categorías como deporte, hogar y moda.</a:t>
          </a:r>
        </a:p>
        <a:p>
          <a:r>
            <a:rPr lang="es-CL" sz="1200">
              <a:solidFill>
                <a:schemeClr val="dk1"/>
              </a:solidFill>
              <a:effectLst/>
              <a:latin typeface="+mn-lt"/>
              <a:ea typeface="+mn-ea"/>
              <a:cs typeface="+mn-cs"/>
            </a:rPr>
            <a:t>En cuanto a la calidad de los datos, se eliminaron registros duplicados mediante el ID de transacción y se estandarizaron los nombres de las categorías. Además, se imputó "No especificado" en las regiones vacías y se reemplazó la etiqueta "movil" por "App", asumiendo que las compras móviles concretadas provienen de la aplicación por su mejor usabilidad e interfaz amigable.</a:t>
          </a:r>
        </a:p>
        <a:p>
          <a:r>
            <a:rPr lang="es-CL" sz="1200">
              <a:solidFill>
                <a:schemeClr val="dk1"/>
              </a:solidFill>
              <a:effectLst/>
              <a:latin typeface="+mn-lt"/>
              <a:ea typeface="+mn-ea"/>
              <a:cs typeface="+mn-cs"/>
            </a:rPr>
            <a:t>Para aumentar las ventas, se recomiendan 2 acciones:</a:t>
          </a:r>
        </a:p>
        <a:p>
          <a:r>
            <a:rPr lang="es-CL" sz="1200">
              <a:solidFill>
                <a:schemeClr val="dk1"/>
              </a:solidFill>
              <a:effectLst/>
              <a:latin typeface="+mn-lt"/>
              <a:ea typeface="+mn-ea"/>
              <a:cs typeface="+mn-cs"/>
            </a:rPr>
            <a:t>1) Incentivar la compra de productos de alto valor (como Electrónica) en la App, generando campañas de difusión que transmitan mayor seguridad y confianza en este medio.</a:t>
          </a:r>
        </a:p>
        <a:p>
          <a:r>
            <a:rPr lang="es-CL" sz="1200">
              <a:solidFill>
                <a:schemeClr val="dk1"/>
              </a:solidFill>
              <a:effectLst/>
              <a:latin typeface="+mn-lt"/>
              <a:ea typeface="+mn-ea"/>
              <a:cs typeface="+mn-cs"/>
            </a:rPr>
            <a:t>2)</a:t>
          </a:r>
          <a:r>
            <a:rPr lang="es-CL" sz="1200" baseline="0">
              <a:solidFill>
                <a:schemeClr val="dk1"/>
              </a:solidFill>
              <a:effectLst/>
              <a:latin typeface="+mn-lt"/>
              <a:ea typeface="+mn-ea"/>
              <a:cs typeface="+mn-cs"/>
            </a:rPr>
            <a:t> </a:t>
          </a:r>
          <a:r>
            <a:rPr lang="es-CL" sz="1200">
              <a:solidFill>
                <a:schemeClr val="dk1"/>
              </a:solidFill>
              <a:effectLst/>
              <a:latin typeface="+mn-lt"/>
              <a:ea typeface="+mn-ea"/>
              <a:cs typeface="+mn-cs"/>
            </a:rPr>
            <a:t>Implementar promociones exclusivas para generar una variación en las tendencias actuales de compra por canal, incentivando la primera transacción para que el usuario compruebe que el producto llegará en buenas condiciones.</a:t>
          </a:r>
        </a:p>
        <a:p>
          <a:pPr algn="l"/>
          <a:endParaRPr lang="es-CL" sz="1400" b="1" i="0" u="none" strike="noStrike" baseline="0">
            <a:solidFill>
              <a:schemeClr val="dk1"/>
            </a:solidFill>
            <a:latin typeface="+mn-lt"/>
            <a:ea typeface="+mn-ea"/>
            <a:cs typeface="+mn-cs"/>
          </a:endParaRPr>
        </a:p>
        <a:p>
          <a:endParaRPr lang="es-CL"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iela Oyarzo Escudero" refreshedDate="46123.493873263891" createdVersion="8" refreshedVersion="8" minRefreshableVersion="3" recordCount="30" xr:uid="{7C0B38CA-92C8-46B2-8BEC-3143C5679B3D}">
  <cacheSource type="worksheet">
    <worksheetSource name="Ventas_Limpias"/>
  </cacheSource>
  <cacheFields count="9">
    <cacheField name="ID_Transaccion" numFmtId="0">
      <sharedItems/>
    </cacheField>
    <cacheField name="Fecha" numFmtId="14">
      <sharedItems containsSemiMixedTypes="0" containsNonDate="0" containsDate="1" containsString="0" minDate="2024-10-01T00:00:00" maxDate="2024-10-16T00:00:00" count="15">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sharedItems>
      <fieldGroup par="8"/>
    </cacheField>
    <cacheField name="Categoria" numFmtId="0">
      <sharedItems count="4">
        <s v="Electrónica"/>
        <s v="Hogar"/>
        <s v="Moda"/>
        <s v="Deportes"/>
      </sharedItems>
    </cacheField>
    <cacheField name="Producto" numFmtId="0">
      <sharedItems/>
    </cacheField>
    <cacheField name="Precio" numFmtId="42">
      <sharedItems containsSemiMixedTypes="0" containsString="0" containsNumber="1" containsInteger="1" minValue="12000" maxValue="450000"/>
    </cacheField>
    <cacheField name="Canal" numFmtId="49">
      <sharedItems count="2">
        <s v="Web"/>
        <s v="App"/>
      </sharedItems>
    </cacheField>
    <cacheField name="Region" numFmtId="0">
      <sharedItems/>
    </cacheField>
    <cacheField name="Clasificacion_Ventas" numFmtId="0">
      <sharedItems/>
    </cacheField>
    <cacheField name="Meses (Fecha)" numFmtId="0" databaseField="0">
      <fieldGroup base="1">
        <rangePr groupBy="months" startDate="2024-10-01T00:00:00" endDate="2024-10-16T00:00:00"/>
        <groupItems count="14">
          <s v="&lt;01-10-2024"/>
          <s v="ene"/>
          <s v="feb"/>
          <s v="mar"/>
          <s v="abr"/>
          <s v="may"/>
          <s v="jun"/>
          <s v="jul"/>
          <s v="ago"/>
          <s v="sept"/>
          <s v="oct"/>
          <s v="nov"/>
          <s v="dic"/>
          <s v="&gt;16-10-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VT001"/>
    <x v="0"/>
    <x v="0"/>
    <s v="Audífonos Bluetooth"/>
    <n v="45000"/>
    <x v="0"/>
    <s v="Metropolitana"/>
    <s v="Media"/>
  </r>
  <r>
    <s v="VT002"/>
    <x v="0"/>
    <x v="1"/>
    <s v="Aspiradora Robot"/>
    <n v="189000"/>
    <x v="1"/>
    <s v="Valparaíso"/>
    <s v="Alta"/>
  </r>
  <r>
    <s v="VT003"/>
    <x v="1"/>
    <x v="2"/>
    <s v="Zapatillas Running"/>
    <n v="65000"/>
    <x v="0"/>
    <s v="No especificado"/>
    <s v="Media"/>
  </r>
  <r>
    <s v="VT004"/>
    <x v="1"/>
    <x v="3"/>
    <s v="Pelota de Fútbol"/>
    <n v="25000"/>
    <x v="1"/>
    <s v="Biobío"/>
    <s v="Baja"/>
  </r>
  <r>
    <s v="VT005"/>
    <x v="2"/>
    <x v="0"/>
    <s v="Mouse Gaming"/>
    <n v="38000"/>
    <x v="0"/>
    <s v="Metropolitana"/>
    <s v="Media"/>
  </r>
  <r>
    <s v="VT006"/>
    <x v="2"/>
    <x v="1"/>
    <s v="Juego de Sábanas"/>
    <n v="42000"/>
    <x v="1"/>
    <s v="No especificado"/>
    <s v="Media"/>
  </r>
  <r>
    <s v="VT007"/>
    <x v="3"/>
    <x v="2"/>
    <s v="Chaqueta Invierno"/>
    <n v="95000"/>
    <x v="0"/>
    <s v="Araucanía"/>
    <s v="Alta"/>
  </r>
  <r>
    <s v="VT008"/>
    <x v="3"/>
    <x v="3"/>
    <s v="Bicicleta MTB"/>
    <n v="320000"/>
    <x v="1"/>
    <s v="Metropolitana"/>
    <s v="Alta"/>
  </r>
  <r>
    <s v="VT009"/>
    <x v="4"/>
    <x v="0"/>
    <s v="Smart TV 55&quot;"/>
    <n v="450000"/>
    <x v="0"/>
    <s v="Valparaíso"/>
    <s v="Alta"/>
  </r>
  <r>
    <s v="VT010"/>
    <x v="4"/>
    <x v="2"/>
    <s v="Jeans Slim Fit"/>
    <n v="52000"/>
    <x v="1"/>
    <s v="No especificado"/>
    <s v="Media"/>
  </r>
  <r>
    <s v="VT011"/>
    <x v="5"/>
    <x v="1"/>
    <s v="Microondas Digital"/>
    <n v="85000"/>
    <x v="0"/>
    <s v="Coquimbo"/>
    <s v="Alta"/>
  </r>
  <r>
    <s v="VT012"/>
    <x v="5"/>
    <x v="3"/>
    <s v="Pesas Ajustables"/>
    <n v="78000"/>
    <x v="0"/>
    <s v="Metropolitana"/>
    <s v="Alta"/>
  </r>
  <r>
    <s v="VT013"/>
    <x v="6"/>
    <x v="0"/>
    <s v="Tablet 10&quot;"/>
    <n v="185000"/>
    <x v="1"/>
    <s v="Biobío"/>
    <s v="Alta"/>
  </r>
  <r>
    <s v="VT014"/>
    <x v="6"/>
    <x v="2"/>
    <s v="Cartera Cuero"/>
    <n v="48000"/>
    <x v="1"/>
    <s v="No especificado"/>
    <s v="Media"/>
  </r>
  <r>
    <s v="VT015"/>
    <x v="7"/>
    <x v="1"/>
    <s v="Cafetera Express"/>
    <n v="125000"/>
    <x v="0"/>
    <s v="Valparaíso"/>
    <s v="Alta"/>
  </r>
  <r>
    <s v="VT016"/>
    <x v="7"/>
    <x v="3"/>
    <s v="Cuerda para Saltar"/>
    <n v="12000"/>
    <x v="1"/>
    <s v="Metropolitana"/>
    <s v="Baja"/>
  </r>
  <r>
    <s v="VT017"/>
    <x v="8"/>
    <x v="0"/>
    <s v="Cargador Inalámbrico"/>
    <n v="28000"/>
    <x v="0"/>
    <s v="Araucanía"/>
    <s v="Baja"/>
  </r>
  <r>
    <s v="VT018"/>
    <x v="8"/>
    <x v="2"/>
    <s v="Reloj Deportivo"/>
    <n v="110000"/>
    <x v="0"/>
    <s v="No especificado"/>
    <s v="Alta"/>
  </r>
  <r>
    <s v="VT019"/>
    <x v="9"/>
    <x v="1"/>
    <s v="Set Ollas Acero"/>
    <n v="95000"/>
    <x v="1"/>
    <s v="Coquimbo"/>
    <s v="Alta"/>
  </r>
  <r>
    <s v="VT020"/>
    <x v="9"/>
    <x v="3"/>
    <s v="Colchoneta Yoga"/>
    <n v="32000"/>
    <x v="1"/>
    <s v="Metropolitana"/>
    <s v="Media"/>
  </r>
  <r>
    <s v="VT021"/>
    <x v="10"/>
    <x v="0"/>
    <s v="Teclado Mecánico"/>
    <n v="72000"/>
    <x v="0"/>
    <s v="Valparaíso"/>
    <s v="Media"/>
  </r>
  <r>
    <s v="VT022"/>
    <x v="10"/>
    <x v="2"/>
    <s v="Mochila Laptop"/>
    <n v="58000"/>
    <x v="1"/>
    <s v="Biobío"/>
    <s v="Media"/>
  </r>
  <r>
    <s v="VT023"/>
    <x v="11"/>
    <x v="1"/>
    <s v="Ventilador Torre"/>
    <n v="68000"/>
    <x v="0"/>
    <s v="No especificado"/>
    <s v="Media"/>
  </r>
  <r>
    <s v="VT024"/>
    <x v="11"/>
    <x v="3"/>
    <s v="Guantes Gimnasio"/>
    <n v="18000"/>
    <x v="1"/>
    <s v="Metropolitana"/>
    <s v="Baja"/>
  </r>
  <r>
    <s v="VT025"/>
    <x v="12"/>
    <x v="0"/>
    <s v="Parlante Bluetooth"/>
    <n v="55000"/>
    <x v="0"/>
    <s v="Araucanía"/>
    <s v="Media"/>
  </r>
  <r>
    <s v="VT026"/>
    <x v="12"/>
    <x v="2"/>
    <s v="Polera Deportiva"/>
    <n v="28000"/>
    <x v="1"/>
    <s v="Valparaíso"/>
    <s v="Baja"/>
  </r>
  <r>
    <s v="VT027"/>
    <x v="13"/>
    <x v="1"/>
    <s v="Plancha Vapor"/>
    <n v="45000"/>
    <x v="0"/>
    <s v="No especificado"/>
    <s v="Media"/>
  </r>
  <r>
    <s v="VT028"/>
    <x v="13"/>
    <x v="3"/>
    <s v="Bolso Deporte"/>
    <n v="38000"/>
    <x v="1"/>
    <s v="Coquimbo"/>
    <s v="Media"/>
  </r>
  <r>
    <s v="VT029"/>
    <x v="14"/>
    <x v="0"/>
    <s v="Webcam HD"/>
    <n v="62000"/>
    <x v="0"/>
    <s v="Metropolitana"/>
    <s v="Media"/>
  </r>
  <r>
    <s v="VT030"/>
    <x v="14"/>
    <x v="2"/>
    <s v="Gorro Invierno"/>
    <n v="22000"/>
    <x v="1"/>
    <s v="Biobío"/>
    <s v="Baj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A1A7B7-79D9-4C68-942A-7EB91DEA3566}" name="TablaDinámica" cacheId="39"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chartFormat="15">
  <location ref="B5:D13" firstHeaderRow="1" firstDataRow="1" firstDataCol="2" rowPageCount="1" colPageCount="1"/>
  <pivotFields count="9">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5">
        <item x="0"/>
        <item x="1"/>
        <item x="2"/>
        <item x="3"/>
        <item x="4"/>
        <item x="5"/>
        <item x="6"/>
        <item x="7"/>
        <item x="8"/>
        <item x="9"/>
        <item x="10"/>
        <item x="11"/>
        <item x="12"/>
        <item x="13"/>
        <item x="14"/>
      </items>
      <extLst>
        <ext xmlns:x14="http://schemas.microsoft.com/office/spreadsheetml/2009/9/main" uri="{2946ED86-A175-432a-8AC1-64E0C546D7DE}">
          <x14:pivotField fillDownLabels="1"/>
        </ext>
      </extLst>
    </pivotField>
    <pivotField axis="axisRow" dataField="1"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2"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5"/>
    <field x="2"/>
  </rowFields>
  <rowItems count="8">
    <i>
      <x/>
      <x/>
    </i>
    <i r="1">
      <x v="1"/>
    </i>
    <i r="1">
      <x v="2"/>
    </i>
    <i r="1">
      <x v="3"/>
    </i>
    <i>
      <x v="1"/>
      <x/>
    </i>
    <i r="1">
      <x v="1"/>
    </i>
    <i r="1">
      <x v="2"/>
    </i>
    <i r="1">
      <x v="3"/>
    </i>
  </rowItems>
  <colItems count="1">
    <i/>
  </colItems>
  <pageFields count="1">
    <pageField fld="8" hier="-1"/>
  </pageFields>
  <dataFields count="1">
    <dataField name="Total Ventas" fld="2" subtotal="count" baseField="0" baseItem="0"/>
  </dataFields>
  <formats count="20">
    <format dxfId="178">
      <pivotArea type="all" dataOnly="0" outline="0" fieldPosition="0"/>
    </format>
    <format dxfId="177">
      <pivotArea outline="0" collapsedLevelsAreSubtotals="1" fieldPosition="0"/>
    </format>
    <format dxfId="176">
      <pivotArea field="2" type="button" dataOnly="0" labelOnly="1" outline="0" axis="axisRow" fieldPosition="1"/>
    </format>
    <format dxfId="175">
      <pivotArea field="5" type="button" dataOnly="0" labelOnly="1" outline="0" axis="axisRow" fieldPosition="0"/>
    </format>
    <format dxfId="174">
      <pivotArea dataOnly="0" labelOnly="1" outline="0" fieldPosition="0">
        <references count="1">
          <reference field="2" count="0"/>
        </references>
      </pivotArea>
    </format>
    <format dxfId="173">
      <pivotArea dataOnly="0" labelOnly="1" outline="0" fieldPosition="0">
        <references count="2">
          <reference field="2" count="1" selected="0">
            <x v="0"/>
          </reference>
          <reference field="5" count="0"/>
        </references>
      </pivotArea>
    </format>
    <format dxfId="172">
      <pivotArea dataOnly="0" labelOnly="1" outline="0" fieldPosition="0">
        <references count="2">
          <reference field="2" count="1" selected="0">
            <x v="1"/>
          </reference>
          <reference field="5" count="0"/>
        </references>
      </pivotArea>
    </format>
    <format dxfId="171">
      <pivotArea dataOnly="0" labelOnly="1" outline="0" fieldPosition="0">
        <references count="2">
          <reference field="2" count="1" selected="0">
            <x v="2"/>
          </reference>
          <reference field="5" count="0"/>
        </references>
      </pivotArea>
    </format>
    <format dxfId="170">
      <pivotArea dataOnly="0" labelOnly="1" outline="0" fieldPosition="0">
        <references count="2">
          <reference field="2" count="1" selected="0">
            <x v="3"/>
          </reference>
          <reference field="5" count="0"/>
        </references>
      </pivotArea>
    </format>
    <format dxfId="169">
      <pivotArea dataOnly="0" labelOnly="1" outline="0" axis="axisValues" fieldPosition="0"/>
    </format>
    <format dxfId="160">
      <pivotArea type="all" dataOnly="0" outline="0" fieldPosition="0"/>
    </format>
    <format dxfId="159">
      <pivotArea outline="0" collapsedLevelsAreSubtotals="1" fieldPosition="0"/>
    </format>
    <format dxfId="158">
      <pivotArea field="2" type="button" dataOnly="0" labelOnly="1" outline="0" axis="axisRow" fieldPosition="1"/>
    </format>
    <format dxfId="157">
      <pivotArea field="5" type="button" dataOnly="0" labelOnly="1" outline="0" axis="axisRow" fieldPosition="0"/>
    </format>
    <format dxfId="156">
      <pivotArea dataOnly="0" labelOnly="1" outline="0" fieldPosition="0">
        <references count="1">
          <reference field="2" count="0"/>
        </references>
      </pivotArea>
    </format>
    <format dxfId="155">
      <pivotArea dataOnly="0" labelOnly="1" outline="0" fieldPosition="0">
        <references count="2">
          <reference field="2" count="1" selected="0">
            <x v="0"/>
          </reference>
          <reference field="5" count="0"/>
        </references>
      </pivotArea>
    </format>
    <format dxfId="154">
      <pivotArea dataOnly="0" labelOnly="1" outline="0" fieldPosition="0">
        <references count="2">
          <reference field="2" count="1" selected="0">
            <x v="1"/>
          </reference>
          <reference field="5" count="0"/>
        </references>
      </pivotArea>
    </format>
    <format dxfId="153">
      <pivotArea dataOnly="0" labelOnly="1" outline="0" fieldPosition="0">
        <references count="2">
          <reference field="2" count="1" selected="0">
            <x v="2"/>
          </reference>
          <reference field="5" count="0"/>
        </references>
      </pivotArea>
    </format>
    <format dxfId="152">
      <pivotArea dataOnly="0" labelOnly="1" outline="0" fieldPosition="0">
        <references count="2">
          <reference field="2" count="1" selected="0">
            <x v="3"/>
          </reference>
          <reference field="5" count="0"/>
        </references>
      </pivotArea>
    </format>
    <format dxfId="15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13"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4AB7F5-7CD6-4B94-A18D-32A028A91DEA}" name="Ventas_Limpias" displayName="Ventas_Limpias" ref="A1:H31" totalsRowShown="0" headerRowDxfId="181" dataDxfId="180">
  <autoFilter ref="A1:H31" xr:uid="{904AB7F5-7CD6-4B94-A18D-32A028A91DEA}"/>
  <tableColumns count="8">
    <tableColumn id="1" xr3:uid="{A88DDD7B-66C8-4C37-8B62-4809C4A59FDB}" name="ID_Transaccion" dataDxfId="185"/>
    <tableColumn id="2" xr3:uid="{20AFE930-4A39-4D27-BD01-2C7B3C907DE0}" name="Fecha" dataDxfId="184"/>
    <tableColumn id="3" xr3:uid="{6F995017-C12E-4EB8-87BF-795DD52B51C0}" name="Categoria" dataDxfId="183"/>
    <tableColumn id="4" xr3:uid="{358B9FC7-6270-4FE9-8A37-C9C647F7DFE8}" name="Producto" dataDxfId="2"/>
    <tableColumn id="5" xr3:uid="{91A61B52-ECA8-4A20-9413-8984C75D7134}" name="Precio" dataDxfId="0" dataCellStyle="Moneda [0]"/>
    <tableColumn id="6" xr3:uid="{F3F27223-6CF3-4574-A75B-EFD27E75D2DF}" name="Canal" dataDxfId="1"/>
    <tableColumn id="7" xr3:uid="{28AEC503-D892-4538-8A04-C4156354BD7F}" name="Region" dataDxfId="182"/>
    <tableColumn id="8" xr3:uid="{1C06B06D-A357-4ADE-8D46-BAB00FB63F02}" name="Clasificacion_Ventas" dataDxfId="179">
      <calculatedColumnFormula>IF(Ventas_Limpias[[#This Row],[Precio]]&gt;75000,"Alta",IF(Ventas_Limpias[[#This Row],[Precio]]&gt;=30000,"Media","Baja"))</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75C5-D127-4C20-8863-7B72B0608C56}">
  <dimension ref="A1:H31"/>
  <sheetViews>
    <sheetView workbookViewId="0">
      <selection activeCell="F1" sqref="F1"/>
    </sheetView>
  </sheetViews>
  <sheetFormatPr baseColWidth="10" defaultRowHeight="14.4" x14ac:dyDescent="0.3"/>
  <cols>
    <col min="1" max="1" width="15.77734375" style="1" bestFit="1" customWidth="1"/>
    <col min="2" max="2" width="10.33203125" style="1" bestFit="1" customWidth="1"/>
    <col min="3" max="4" width="23.33203125" style="1" customWidth="1"/>
    <col min="5" max="6" width="13.88671875" style="1" customWidth="1"/>
    <col min="7" max="7" width="26.109375" style="1" customWidth="1"/>
    <col min="8" max="8" width="22.88671875" bestFit="1" customWidth="1"/>
  </cols>
  <sheetData>
    <row r="1" spans="1:8" x14ac:dyDescent="0.3">
      <c r="A1" s="1" t="s">
        <v>0</v>
      </c>
      <c r="B1" s="1" t="s">
        <v>1</v>
      </c>
      <c r="C1" s="1" t="s">
        <v>2</v>
      </c>
      <c r="D1" s="1" t="s">
        <v>3</v>
      </c>
      <c r="E1" s="1" t="s">
        <v>4</v>
      </c>
      <c r="F1" s="1" t="s">
        <v>5</v>
      </c>
      <c r="G1" s="1" t="s">
        <v>6</v>
      </c>
      <c r="H1" s="1" t="s">
        <v>88</v>
      </c>
    </row>
    <row r="2" spans="1:8" x14ac:dyDescent="0.3">
      <c r="A2" s="2" t="s">
        <v>7</v>
      </c>
      <c r="B2" s="3">
        <v>45566</v>
      </c>
      <c r="C2" s="2" t="s">
        <v>32</v>
      </c>
      <c r="D2" s="2" t="s">
        <v>8</v>
      </c>
      <c r="E2" s="18">
        <v>45000</v>
      </c>
      <c r="F2" s="16" t="s">
        <v>27</v>
      </c>
      <c r="G2" s="2" t="s">
        <v>9</v>
      </c>
      <c r="H2" s="2" t="str">
        <f>IF(Ventas_Limpias[[#This Row],[Precio]]&gt;75000,"Alta",IF(Ventas_Limpias[[#This Row],[Precio]]&gt;=30000,"Media","Baja"))</f>
        <v>Media</v>
      </c>
    </row>
    <row r="3" spans="1:8" x14ac:dyDescent="0.3">
      <c r="A3" s="2" t="s">
        <v>10</v>
      </c>
      <c r="B3" s="3">
        <v>45566</v>
      </c>
      <c r="C3" s="2" t="s">
        <v>70</v>
      </c>
      <c r="D3" s="2" t="s">
        <v>11</v>
      </c>
      <c r="E3" s="18">
        <v>189000</v>
      </c>
      <c r="F3" s="16" t="s">
        <v>12</v>
      </c>
      <c r="G3" s="2" t="s">
        <v>13</v>
      </c>
      <c r="H3" s="2" t="str">
        <f>IF(Ventas_Limpias[[#This Row],[Precio]]&gt;75000,"Alta",IF(Ventas_Limpias[[#This Row],[Precio]]&gt;=30000,"Media","Baja"))</f>
        <v>Alta</v>
      </c>
    </row>
    <row r="4" spans="1:8" x14ac:dyDescent="0.3">
      <c r="A4" s="2" t="s">
        <v>14</v>
      </c>
      <c r="B4" s="3">
        <v>45567</v>
      </c>
      <c r="C4" s="2" t="s">
        <v>25</v>
      </c>
      <c r="D4" s="2" t="s">
        <v>15</v>
      </c>
      <c r="E4" s="18">
        <v>65000</v>
      </c>
      <c r="F4" s="16" t="s">
        <v>27</v>
      </c>
      <c r="G4" s="2" t="s">
        <v>78</v>
      </c>
      <c r="H4" s="2" t="str">
        <f>IF(Ventas_Limpias[[#This Row],[Precio]]&gt;75000,"Alta",IF(Ventas_Limpias[[#This Row],[Precio]]&gt;=30000,"Media","Baja"))</f>
        <v>Media</v>
      </c>
    </row>
    <row r="5" spans="1:8" x14ac:dyDescent="0.3">
      <c r="A5" s="2" t="s">
        <v>16</v>
      </c>
      <c r="B5" s="3">
        <v>45567</v>
      </c>
      <c r="C5" s="2" t="s">
        <v>17</v>
      </c>
      <c r="D5" s="2" t="s">
        <v>18</v>
      </c>
      <c r="E5" s="18">
        <v>25000</v>
      </c>
      <c r="F5" s="16" t="s">
        <v>12</v>
      </c>
      <c r="G5" s="2" t="s">
        <v>19</v>
      </c>
      <c r="H5" s="2" t="str">
        <f>IF(Ventas_Limpias[[#This Row],[Precio]]&gt;75000,"Alta",IF(Ventas_Limpias[[#This Row],[Precio]]&gt;=30000,"Media","Baja"))</f>
        <v>Baja</v>
      </c>
    </row>
    <row r="6" spans="1:8" x14ac:dyDescent="0.3">
      <c r="A6" s="2" t="s">
        <v>20</v>
      </c>
      <c r="B6" s="3">
        <v>45568</v>
      </c>
      <c r="C6" s="2" t="s">
        <v>32</v>
      </c>
      <c r="D6" s="2" t="s">
        <v>21</v>
      </c>
      <c r="E6" s="18">
        <v>38000</v>
      </c>
      <c r="F6" s="16" t="s">
        <v>27</v>
      </c>
      <c r="G6" s="2" t="s">
        <v>9</v>
      </c>
      <c r="H6" s="2" t="str">
        <f>IF(Ventas_Limpias[[#This Row],[Precio]]&gt;75000,"Alta",IF(Ventas_Limpias[[#This Row],[Precio]]&gt;=30000,"Media","Baja"))</f>
        <v>Media</v>
      </c>
    </row>
    <row r="7" spans="1:8" x14ac:dyDescent="0.3">
      <c r="A7" s="2" t="s">
        <v>22</v>
      </c>
      <c r="B7" s="3">
        <v>45568</v>
      </c>
      <c r="C7" s="2" t="s">
        <v>70</v>
      </c>
      <c r="D7" s="2" t="s">
        <v>23</v>
      </c>
      <c r="E7" s="18">
        <v>42000</v>
      </c>
      <c r="F7" s="16" t="s">
        <v>12</v>
      </c>
      <c r="G7" s="2" t="s">
        <v>78</v>
      </c>
      <c r="H7" s="2" t="str">
        <f>IF(Ventas_Limpias[[#This Row],[Precio]]&gt;75000,"Alta",IF(Ventas_Limpias[[#This Row],[Precio]]&gt;=30000,"Media","Baja"))</f>
        <v>Media</v>
      </c>
    </row>
    <row r="8" spans="1:8" x14ac:dyDescent="0.3">
      <c r="A8" s="2" t="s">
        <v>24</v>
      </c>
      <c r="B8" s="3">
        <v>45569</v>
      </c>
      <c r="C8" s="2" t="s">
        <v>25</v>
      </c>
      <c r="D8" s="2" t="s">
        <v>26</v>
      </c>
      <c r="E8" s="18">
        <v>95000</v>
      </c>
      <c r="F8" s="16" t="s">
        <v>27</v>
      </c>
      <c r="G8" s="2" t="s">
        <v>28</v>
      </c>
      <c r="H8" s="2" t="str">
        <f>IF(Ventas_Limpias[[#This Row],[Precio]]&gt;75000,"Alta",IF(Ventas_Limpias[[#This Row],[Precio]]&gt;=30000,"Media","Baja"))</f>
        <v>Alta</v>
      </c>
    </row>
    <row r="9" spans="1:8" x14ac:dyDescent="0.3">
      <c r="A9" s="2" t="s">
        <v>29</v>
      </c>
      <c r="B9" s="3">
        <v>45569</v>
      </c>
      <c r="C9" s="2" t="s">
        <v>17</v>
      </c>
      <c r="D9" s="2" t="s">
        <v>30</v>
      </c>
      <c r="E9" s="18">
        <v>320000</v>
      </c>
      <c r="F9" s="16" t="s">
        <v>12</v>
      </c>
      <c r="G9" s="2" t="s">
        <v>9</v>
      </c>
      <c r="H9" s="2" t="str">
        <f>IF(Ventas_Limpias[[#This Row],[Precio]]&gt;75000,"Alta",IF(Ventas_Limpias[[#This Row],[Precio]]&gt;=30000,"Media","Baja"))</f>
        <v>Alta</v>
      </c>
    </row>
    <row r="10" spans="1:8" x14ac:dyDescent="0.3">
      <c r="A10" s="2" t="s">
        <v>31</v>
      </c>
      <c r="B10" s="3">
        <v>45570</v>
      </c>
      <c r="C10" s="2" t="s">
        <v>32</v>
      </c>
      <c r="D10" s="2" t="s">
        <v>33</v>
      </c>
      <c r="E10" s="18">
        <v>450000</v>
      </c>
      <c r="F10" s="16" t="s">
        <v>27</v>
      </c>
      <c r="G10" s="2" t="s">
        <v>13</v>
      </c>
      <c r="H10" s="2" t="str">
        <f>IF(Ventas_Limpias[[#This Row],[Precio]]&gt;75000,"Alta",IF(Ventas_Limpias[[#This Row],[Precio]]&gt;=30000,"Media","Baja"))</f>
        <v>Alta</v>
      </c>
    </row>
    <row r="11" spans="1:8" x14ac:dyDescent="0.3">
      <c r="A11" s="2" t="s">
        <v>34</v>
      </c>
      <c r="B11" s="3">
        <v>45570</v>
      </c>
      <c r="C11" s="2" t="s">
        <v>25</v>
      </c>
      <c r="D11" s="2" t="s">
        <v>35</v>
      </c>
      <c r="E11" s="18">
        <v>52000</v>
      </c>
      <c r="F11" s="16" t="s">
        <v>12</v>
      </c>
      <c r="G11" s="2" t="s">
        <v>78</v>
      </c>
      <c r="H11" s="2" t="str">
        <f>IF(Ventas_Limpias[[#This Row],[Precio]]&gt;75000,"Alta",IF(Ventas_Limpias[[#This Row],[Precio]]&gt;=30000,"Media","Baja"))</f>
        <v>Media</v>
      </c>
    </row>
    <row r="12" spans="1:8" x14ac:dyDescent="0.3">
      <c r="A12" s="2" t="s">
        <v>36</v>
      </c>
      <c r="B12" s="3">
        <v>45571</v>
      </c>
      <c r="C12" s="2" t="s">
        <v>70</v>
      </c>
      <c r="D12" s="2" t="s">
        <v>37</v>
      </c>
      <c r="E12" s="18">
        <v>85000</v>
      </c>
      <c r="F12" s="16" t="s">
        <v>27</v>
      </c>
      <c r="G12" s="2" t="s">
        <v>38</v>
      </c>
      <c r="H12" s="2" t="str">
        <f>IF(Ventas_Limpias[[#This Row],[Precio]]&gt;75000,"Alta",IF(Ventas_Limpias[[#This Row],[Precio]]&gt;=30000,"Media","Baja"))</f>
        <v>Alta</v>
      </c>
    </row>
    <row r="13" spans="1:8" x14ac:dyDescent="0.3">
      <c r="A13" s="2" t="s">
        <v>39</v>
      </c>
      <c r="B13" s="3">
        <v>45571</v>
      </c>
      <c r="C13" s="2" t="s">
        <v>17</v>
      </c>
      <c r="D13" s="2" t="s">
        <v>40</v>
      </c>
      <c r="E13" s="18">
        <v>78000</v>
      </c>
      <c r="F13" s="16" t="s">
        <v>27</v>
      </c>
      <c r="G13" s="2" t="s">
        <v>9</v>
      </c>
      <c r="H13" s="2" t="str">
        <f>IF(Ventas_Limpias[[#This Row],[Precio]]&gt;75000,"Alta",IF(Ventas_Limpias[[#This Row],[Precio]]&gt;=30000,"Media","Baja"))</f>
        <v>Alta</v>
      </c>
    </row>
    <row r="14" spans="1:8" x14ac:dyDescent="0.3">
      <c r="A14" s="2" t="s">
        <v>41</v>
      </c>
      <c r="B14" s="3">
        <v>45572</v>
      </c>
      <c r="C14" s="2" t="s">
        <v>32</v>
      </c>
      <c r="D14" s="2" t="s">
        <v>42</v>
      </c>
      <c r="E14" s="18">
        <v>185000</v>
      </c>
      <c r="F14" s="16" t="s">
        <v>12</v>
      </c>
      <c r="G14" s="2" t="s">
        <v>19</v>
      </c>
      <c r="H14" s="2" t="str">
        <f>IF(Ventas_Limpias[[#This Row],[Precio]]&gt;75000,"Alta",IF(Ventas_Limpias[[#This Row],[Precio]]&gt;=30000,"Media","Baja"))</f>
        <v>Alta</v>
      </c>
    </row>
    <row r="15" spans="1:8" x14ac:dyDescent="0.3">
      <c r="A15" s="2" t="s">
        <v>43</v>
      </c>
      <c r="B15" s="3">
        <v>45572</v>
      </c>
      <c r="C15" s="2" t="s">
        <v>25</v>
      </c>
      <c r="D15" s="2" t="s">
        <v>44</v>
      </c>
      <c r="E15" s="18">
        <v>48000</v>
      </c>
      <c r="F15" s="16" t="s">
        <v>12</v>
      </c>
      <c r="G15" s="2" t="s">
        <v>78</v>
      </c>
      <c r="H15" s="2" t="str">
        <f>IF(Ventas_Limpias[[#This Row],[Precio]]&gt;75000,"Alta",IF(Ventas_Limpias[[#This Row],[Precio]]&gt;=30000,"Media","Baja"))</f>
        <v>Media</v>
      </c>
    </row>
    <row r="16" spans="1:8" x14ac:dyDescent="0.3">
      <c r="A16" s="2" t="s">
        <v>45</v>
      </c>
      <c r="B16" s="3">
        <v>45573</v>
      </c>
      <c r="C16" s="2" t="s">
        <v>70</v>
      </c>
      <c r="D16" s="2" t="s">
        <v>46</v>
      </c>
      <c r="E16" s="18">
        <v>125000</v>
      </c>
      <c r="F16" s="16" t="s">
        <v>27</v>
      </c>
      <c r="G16" s="2" t="s">
        <v>13</v>
      </c>
      <c r="H16" s="2" t="str">
        <f>IF(Ventas_Limpias[[#This Row],[Precio]]&gt;75000,"Alta",IF(Ventas_Limpias[[#This Row],[Precio]]&gt;=30000,"Media","Baja"))</f>
        <v>Alta</v>
      </c>
    </row>
    <row r="17" spans="1:8" x14ac:dyDescent="0.3">
      <c r="A17" s="2" t="s">
        <v>47</v>
      </c>
      <c r="B17" s="3">
        <v>45573</v>
      </c>
      <c r="C17" s="2" t="s">
        <v>17</v>
      </c>
      <c r="D17" s="2" t="s">
        <v>48</v>
      </c>
      <c r="E17" s="18">
        <v>12000</v>
      </c>
      <c r="F17" s="16" t="s">
        <v>12</v>
      </c>
      <c r="G17" s="2" t="s">
        <v>9</v>
      </c>
      <c r="H17" s="2" t="str">
        <f>IF(Ventas_Limpias[[#This Row],[Precio]]&gt;75000,"Alta",IF(Ventas_Limpias[[#This Row],[Precio]]&gt;=30000,"Media","Baja"))</f>
        <v>Baja</v>
      </c>
    </row>
    <row r="18" spans="1:8" x14ac:dyDescent="0.3">
      <c r="A18" s="2" t="s">
        <v>49</v>
      </c>
      <c r="B18" s="3">
        <v>45574</v>
      </c>
      <c r="C18" s="2" t="s">
        <v>32</v>
      </c>
      <c r="D18" s="2" t="s">
        <v>50</v>
      </c>
      <c r="E18" s="18">
        <v>28000</v>
      </c>
      <c r="F18" s="16" t="s">
        <v>27</v>
      </c>
      <c r="G18" s="2" t="s">
        <v>28</v>
      </c>
      <c r="H18" s="2" t="str">
        <f>IF(Ventas_Limpias[[#This Row],[Precio]]&gt;75000,"Alta",IF(Ventas_Limpias[[#This Row],[Precio]]&gt;=30000,"Media","Baja"))</f>
        <v>Baja</v>
      </c>
    </row>
    <row r="19" spans="1:8" x14ac:dyDescent="0.3">
      <c r="A19" s="2" t="s">
        <v>51</v>
      </c>
      <c r="B19" s="3">
        <v>45574</v>
      </c>
      <c r="C19" s="2" t="s">
        <v>25</v>
      </c>
      <c r="D19" s="2" t="s">
        <v>52</v>
      </c>
      <c r="E19" s="18">
        <v>110000</v>
      </c>
      <c r="F19" s="16" t="s">
        <v>27</v>
      </c>
      <c r="G19" s="2" t="s">
        <v>78</v>
      </c>
      <c r="H19" s="2" t="str">
        <f>IF(Ventas_Limpias[[#This Row],[Precio]]&gt;75000,"Alta",IF(Ventas_Limpias[[#This Row],[Precio]]&gt;=30000,"Media","Baja"))</f>
        <v>Alta</v>
      </c>
    </row>
    <row r="20" spans="1:8" x14ac:dyDescent="0.3">
      <c r="A20" s="2" t="s">
        <v>53</v>
      </c>
      <c r="B20" s="3">
        <v>45575</v>
      </c>
      <c r="C20" s="2" t="s">
        <v>70</v>
      </c>
      <c r="D20" s="2" t="s">
        <v>54</v>
      </c>
      <c r="E20" s="18">
        <v>95000</v>
      </c>
      <c r="F20" s="16" t="s">
        <v>12</v>
      </c>
      <c r="G20" s="2" t="s">
        <v>38</v>
      </c>
      <c r="H20" s="2" t="str">
        <f>IF(Ventas_Limpias[[#This Row],[Precio]]&gt;75000,"Alta",IF(Ventas_Limpias[[#This Row],[Precio]]&gt;=30000,"Media","Baja"))</f>
        <v>Alta</v>
      </c>
    </row>
    <row r="21" spans="1:8" x14ac:dyDescent="0.3">
      <c r="A21" s="2" t="s">
        <v>55</v>
      </c>
      <c r="B21" s="3">
        <v>45575</v>
      </c>
      <c r="C21" s="2" t="s">
        <v>17</v>
      </c>
      <c r="D21" s="2" t="s">
        <v>56</v>
      </c>
      <c r="E21" s="18">
        <v>32000</v>
      </c>
      <c r="F21" s="16" t="s">
        <v>12</v>
      </c>
      <c r="G21" s="2" t="s">
        <v>9</v>
      </c>
      <c r="H21" s="2" t="str">
        <f>IF(Ventas_Limpias[[#This Row],[Precio]]&gt;75000,"Alta",IF(Ventas_Limpias[[#This Row],[Precio]]&gt;=30000,"Media","Baja"))</f>
        <v>Media</v>
      </c>
    </row>
    <row r="22" spans="1:8" x14ac:dyDescent="0.3">
      <c r="A22" s="2" t="s">
        <v>57</v>
      </c>
      <c r="B22" s="3">
        <v>45576</v>
      </c>
      <c r="C22" s="2" t="s">
        <v>32</v>
      </c>
      <c r="D22" s="2" t="s">
        <v>58</v>
      </c>
      <c r="E22" s="18">
        <v>72000</v>
      </c>
      <c r="F22" s="16" t="s">
        <v>27</v>
      </c>
      <c r="G22" s="2" t="s">
        <v>13</v>
      </c>
      <c r="H22" s="2" t="str">
        <f>IF(Ventas_Limpias[[#This Row],[Precio]]&gt;75000,"Alta",IF(Ventas_Limpias[[#This Row],[Precio]]&gt;=30000,"Media","Baja"))</f>
        <v>Media</v>
      </c>
    </row>
    <row r="23" spans="1:8" x14ac:dyDescent="0.3">
      <c r="A23" s="2" t="s">
        <v>59</v>
      </c>
      <c r="B23" s="3">
        <v>45576</v>
      </c>
      <c r="C23" s="2" t="s">
        <v>25</v>
      </c>
      <c r="D23" s="2" t="s">
        <v>60</v>
      </c>
      <c r="E23" s="18">
        <v>58000</v>
      </c>
      <c r="F23" s="16" t="s">
        <v>12</v>
      </c>
      <c r="G23" s="2" t="s">
        <v>19</v>
      </c>
      <c r="H23" s="2" t="str">
        <f>IF(Ventas_Limpias[[#This Row],[Precio]]&gt;75000,"Alta",IF(Ventas_Limpias[[#This Row],[Precio]]&gt;=30000,"Media","Baja"))</f>
        <v>Media</v>
      </c>
    </row>
    <row r="24" spans="1:8" x14ac:dyDescent="0.3">
      <c r="A24" s="2" t="s">
        <v>61</v>
      </c>
      <c r="B24" s="3">
        <v>45577</v>
      </c>
      <c r="C24" s="2" t="s">
        <v>70</v>
      </c>
      <c r="D24" s="2" t="s">
        <v>62</v>
      </c>
      <c r="E24" s="18">
        <v>68000</v>
      </c>
      <c r="F24" s="16" t="s">
        <v>27</v>
      </c>
      <c r="G24" s="2" t="s">
        <v>78</v>
      </c>
      <c r="H24" s="2" t="str">
        <f>IF(Ventas_Limpias[[#This Row],[Precio]]&gt;75000,"Alta",IF(Ventas_Limpias[[#This Row],[Precio]]&gt;=30000,"Media","Baja"))</f>
        <v>Media</v>
      </c>
    </row>
    <row r="25" spans="1:8" x14ac:dyDescent="0.3">
      <c r="A25" s="2" t="s">
        <v>63</v>
      </c>
      <c r="B25" s="3">
        <v>45577</v>
      </c>
      <c r="C25" s="2" t="s">
        <v>17</v>
      </c>
      <c r="D25" s="2" t="s">
        <v>64</v>
      </c>
      <c r="E25" s="18">
        <v>18000</v>
      </c>
      <c r="F25" s="16" t="s">
        <v>12</v>
      </c>
      <c r="G25" s="2" t="s">
        <v>9</v>
      </c>
      <c r="H25" s="2" t="str">
        <f>IF(Ventas_Limpias[[#This Row],[Precio]]&gt;75000,"Alta",IF(Ventas_Limpias[[#This Row],[Precio]]&gt;=30000,"Media","Baja"))</f>
        <v>Baja</v>
      </c>
    </row>
    <row r="26" spans="1:8" x14ac:dyDescent="0.3">
      <c r="A26" s="2" t="s">
        <v>65</v>
      </c>
      <c r="B26" s="3">
        <v>45578</v>
      </c>
      <c r="C26" s="2" t="s">
        <v>32</v>
      </c>
      <c r="D26" s="2" t="s">
        <v>66</v>
      </c>
      <c r="E26" s="18">
        <v>55000</v>
      </c>
      <c r="F26" s="16" t="s">
        <v>27</v>
      </c>
      <c r="G26" s="2" t="s">
        <v>28</v>
      </c>
      <c r="H26" s="2" t="str">
        <f>IF(Ventas_Limpias[[#This Row],[Precio]]&gt;75000,"Alta",IF(Ventas_Limpias[[#This Row],[Precio]]&gt;=30000,"Media","Baja"))</f>
        <v>Media</v>
      </c>
    </row>
    <row r="27" spans="1:8" x14ac:dyDescent="0.3">
      <c r="A27" s="2" t="s">
        <v>67</v>
      </c>
      <c r="B27" s="3">
        <v>45578</v>
      </c>
      <c r="C27" s="2" t="s">
        <v>25</v>
      </c>
      <c r="D27" s="2" t="s">
        <v>68</v>
      </c>
      <c r="E27" s="18">
        <v>28000</v>
      </c>
      <c r="F27" s="16" t="s">
        <v>12</v>
      </c>
      <c r="G27" s="2" t="s">
        <v>13</v>
      </c>
      <c r="H27" s="2" t="str">
        <f>IF(Ventas_Limpias[[#This Row],[Precio]]&gt;75000,"Alta",IF(Ventas_Limpias[[#This Row],[Precio]]&gt;=30000,"Media","Baja"))</f>
        <v>Baja</v>
      </c>
    </row>
    <row r="28" spans="1:8" x14ac:dyDescent="0.3">
      <c r="A28" s="2" t="s">
        <v>69</v>
      </c>
      <c r="B28" s="3">
        <v>45579</v>
      </c>
      <c r="C28" s="2" t="s">
        <v>70</v>
      </c>
      <c r="D28" s="2" t="s">
        <v>71</v>
      </c>
      <c r="E28" s="18">
        <v>45000</v>
      </c>
      <c r="F28" s="16" t="s">
        <v>27</v>
      </c>
      <c r="G28" s="2" t="s">
        <v>78</v>
      </c>
      <c r="H28" s="2" t="str">
        <f>IF(Ventas_Limpias[[#This Row],[Precio]]&gt;75000,"Alta",IF(Ventas_Limpias[[#This Row],[Precio]]&gt;=30000,"Media","Baja"))</f>
        <v>Media</v>
      </c>
    </row>
    <row r="29" spans="1:8" x14ac:dyDescent="0.3">
      <c r="A29" s="2" t="s">
        <v>72</v>
      </c>
      <c r="B29" s="3">
        <v>45579</v>
      </c>
      <c r="C29" s="2" t="s">
        <v>17</v>
      </c>
      <c r="D29" s="2" t="s">
        <v>73</v>
      </c>
      <c r="E29" s="18">
        <v>38000</v>
      </c>
      <c r="F29" s="16" t="s">
        <v>12</v>
      </c>
      <c r="G29" s="2" t="s">
        <v>38</v>
      </c>
      <c r="H29" s="2" t="str">
        <f>IF(Ventas_Limpias[[#This Row],[Precio]]&gt;75000,"Alta",IF(Ventas_Limpias[[#This Row],[Precio]]&gt;=30000,"Media","Baja"))</f>
        <v>Media</v>
      </c>
    </row>
    <row r="30" spans="1:8" x14ac:dyDescent="0.3">
      <c r="A30" s="2" t="s">
        <v>74</v>
      </c>
      <c r="B30" s="3">
        <v>45580</v>
      </c>
      <c r="C30" s="2" t="s">
        <v>32</v>
      </c>
      <c r="D30" s="2" t="s">
        <v>75</v>
      </c>
      <c r="E30" s="18">
        <v>62000</v>
      </c>
      <c r="F30" s="16" t="s">
        <v>27</v>
      </c>
      <c r="G30" s="2" t="s">
        <v>9</v>
      </c>
      <c r="H30" s="2" t="str">
        <f>IF(Ventas_Limpias[[#This Row],[Precio]]&gt;75000,"Alta",IF(Ventas_Limpias[[#This Row],[Precio]]&gt;=30000,"Media","Baja"))</f>
        <v>Media</v>
      </c>
    </row>
    <row r="31" spans="1:8" x14ac:dyDescent="0.3">
      <c r="A31" s="2" t="s">
        <v>76</v>
      </c>
      <c r="B31" s="3">
        <v>45580</v>
      </c>
      <c r="C31" s="2" t="s">
        <v>25</v>
      </c>
      <c r="D31" s="2" t="s">
        <v>77</v>
      </c>
      <c r="E31" s="18">
        <v>22000</v>
      </c>
      <c r="F31" s="16" t="s">
        <v>12</v>
      </c>
      <c r="G31" s="2" t="s">
        <v>19</v>
      </c>
      <c r="H31" s="2" t="str">
        <f>IF(Ventas_Limpias[[#This Row],[Precio]]&gt;75000,"Alta",IF(Ventas_Limpias[[#This Row],[Precio]]&gt;=30000,"Media","Baja"))</f>
        <v>Baja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D990-910E-45EC-95FA-A4648351576C}">
  <dimension ref="B1:C18"/>
  <sheetViews>
    <sheetView workbookViewId="0">
      <selection activeCell="E11" sqref="E11"/>
    </sheetView>
  </sheetViews>
  <sheetFormatPr baseColWidth="10" defaultRowHeight="14.4" x14ac:dyDescent="0.3"/>
  <cols>
    <col min="3" max="3" width="19" bestFit="1" customWidth="1"/>
    <col min="4" max="4" width="17.33203125" customWidth="1"/>
  </cols>
  <sheetData>
    <row r="1" spans="2:3" ht="15" thickBot="1" x14ac:dyDescent="0.35">
      <c r="B1" s="1"/>
      <c r="C1" s="1"/>
    </row>
    <row r="2" spans="2:3" ht="15" thickBot="1" x14ac:dyDescent="0.35">
      <c r="B2" s="4" t="s">
        <v>80</v>
      </c>
      <c r="C2" s="5"/>
    </row>
    <row r="3" spans="2:3" ht="15" thickBot="1" x14ac:dyDescent="0.35">
      <c r="B3" s="11" t="s">
        <v>2</v>
      </c>
      <c r="C3" s="10" t="s">
        <v>81</v>
      </c>
    </row>
    <row r="4" spans="2:3" x14ac:dyDescent="0.3">
      <c r="B4" s="8" t="str" cm="1">
        <f t="array" ref="B4:B7">_xlfn.UNIQUE(Ventas_Limpias[Categoria])</f>
        <v>Electrónica</v>
      </c>
      <c r="C4" s="19">
        <f>SUMIF(Ventas_Limpias[Categoria],Analisis_Ventas!B4,Ventas_Limpias[Precio])</f>
        <v>935000</v>
      </c>
    </row>
    <row r="5" spans="2:3" x14ac:dyDescent="0.3">
      <c r="B5" s="6" t="str">
        <v>Hogar</v>
      </c>
      <c r="C5" s="19">
        <f>SUMIF(Ventas_Limpias[Categoria],Analisis_Ventas!B5,Ventas_Limpias[Precio])</f>
        <v>649000</v>
      </c>
    </row>
    <row r="6" spans="2:3" x14ac:dyDescent="0.3">
      <c r="B6" s="6" t="str">
        <v>Moda</v>
      </c>
      <c r="C6" s="19">
        <f>SUMIF(Ventas_Limpias[Categoria],Analisis_Ventas!B6,Ventas_Limpias[Precio])</f>
        <v>478000</v>
      </c>
    </row>
    <row r="7" spans="2:3" ht="15" thickBot="1" x14ac:dyDescent="0.35">
      <c r="B7" s="7" t="str">
        <v>Deportes</v>
      </c>
      <c r="C7" s="19">
        <f>SUMIF(Ventas_Limpias[Categoria],Analisis_Ventas!B7,Ventas_Limpias[Precio])</f>
        <v>523000</v>
      </c>
    </row>
    <row r="9" spans="2:3" ht="15" thickBot="1" x14ac:dyDescent="0.35"/>
    <row r="10" spans="2:3" ht="15" thickBot="1" x14ac:dyDescent="0.35">
      <c r="B10" s="4" t="s">
        <v>82</v>
      </c>
      <c r="C10" s="5"/>
    </row>
    <row r="11" spans="2:3" ht="15" thickBot="1" x14ac:dyDescent="0.35">
      <c r="B11" s="9" t="s">
        <v>5</v>
      </c>
      <c r="C11" s="10" t="s">
        <v>83</v>
      </c>
    </row>
    <row r="12" spans="2:3" x14ac:dyDescent="0.3">
      <c r="B12" s="8" t="str" cm="1">
        <f t="array" ref="B12:B13">_xlfn.UNIQUE(Ventas_Limpias[Canal])</f>
        <v>Web</v>
      </c>
      <c r="C12" s="12">
        <f>AVERAGEIF(Ventas_Limpias[Canal],Analisis_Ventas!B12,Ventas_Limpias[Precio])</f>
        <v>94733.333333333328</v>
      </c>
    </row>
    <row r="13" spans="2:3" ht="15" thickBot="1" x14ac:dyDescent="0.35">
      <c r="B13" s="7" t="str">
        <v>App</v>
      </c>
      <c r="C13" s="13">
        <f>AVERAGEIF(Ventas_Limpias[Canal],Analisis_Ventas!B13,Ventas_Limpias[Precio])</f>
        <v>77600</v>
      </c>
    </row>
    <row r="15" spans="2:3" ht="15" thickBot="1" x14ac:dyDescent="0.35"/>
    <row r="16" spans="2:3" ht="15" thickBot="1" x14ac:dyDescent="0.35">
      <c r="B16" s="4" t="s">
        <v>84</v>
      </c>
      <c r="C16" s="5"/>
    </row>
    <row r="17" spans="2:3" ht="15" thickBot="1" x14ac:dyDescent="0.35">
      <c r="B17" s="9" t="s">
        <v>85</v>
      </c>
      <c r="C17" s="10" t="s">
        <v>86</v>
      </c>
    </row>
    <row r="18" spans="2:3" ht="15" thickBot="1" x14ac:dyDescent="0.35">
      <c r="B18" s="14" t="s">
        <v>87</v>
      </c>
      <c r="C18" s="15">
        <f>COUNTIF(Ventas_Limpias[Precio],"&gt;50000")</f>
        <v>17</v>
      </c>
    </row>
  </sheetData>
  <mergeCells count="3">
    <mergeCell ref="B2:C2"/>
    <mergeCell ref="B10:C10"/>
    <mergeCell ref="B16: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87451-CF75-49CF-96F8-A6D06AE09FD9}">
  <dimension ref="B1:D13"/>
  <sheetViews>
    <sheetView topLeftCell="B1" workbookViewId="0">
      <selection activeCell="P17" sqref="P17"/>
    </sheetView>
  </sheetViews>
  <sheetFormatPr baseColWidth="10" defaultRowHeight="14.4" x14ac:dyDescent="0.3"/>
  <cols>
    <col min="2" max="2" width="12.6640625" bestFit="1" customWidth="1"/>
    <col min="3" max="3" width="13.44140625" bestFit="1" customWidth="1"/>
    <col min="4" max="5" width="11.109375" bestFit="1" customWidth="1"/>
    <col min="6" max="22" width="8.21875" bestFit="1" customWidth="1"/>
    <col min="23" max="28" width="9.21875" bestFit="1" customWidth="1"/>
    <col min="29" max="29" width="12.21875" bestFit="1" customWidth="1"/>
  </cols>
  <sheetData>
    <row r="1" spans="2:4" x14ac:dyDescent="0.3">
      <c r="B1" s="1"/>
      <c r="C1" s="1"/>
      <c r="D1" s="1"/>
    </row>
    <row r="2" spans="2:4" x14ac:dyDescent="0.3">
      <c r="B2" s="1"/>
      <c r="C2" s="1"/>
      <c r="D2" s="1"/>
    </row>
    <row r="3" spans="2:4" x14ac:dyDescent="0.3">
      <c r="B3" s="17" t="s">
        <v>90</v>
      </c>
      <c r="C3" s="1" t="s">
        <v>89</v>
      </c>
      <c r="D3" s="1"/>
    </row>
    <row r="4" spans="2:4" x14ac:dyDescent="0.3">
      <c r="B4" s="1"/>
      <c r="C4" s="1"/>
      <c r="D4" s="1"/>
    </row>
    <row r="5" spans="2:4" x14ac:dyDescent="0.3">
      <c r="B5" s="17" t="s">
        <v>5</v>
      </c>
      <c r="C5" s="17" t="s">
        <v>2</v>
      </c>
      <c r="D5" s="1" t="s">
        <v>79</v>
      </c>
    </row>
    <row r="6" spans="2:4" x14ac:dyDescent="0.3">
      <c r="B6" s="1" t="s">
        <v>12</v>
      </c>
      <c r="C6" s="1" t="s">
        <v>17</v>
      </c>
      <c r="D6" s="2">
        <v>6</v>
      </c>
    </row>
    <row r="7" spans="2:4" x14ac:dyDescent="0.3">
      <c r="B7" s="1" t="s">
        <v>12</v>
      </c>
      <c r="C7" s="1" t="s">
        <v>32</v>
      </c>
      <c r="D7" s="2">
        <v>1</v>
      </c>
    </row>
    <row r="8" spans="2:4" x14ac:dyDescent="0.3">
      <c r="B8" s="1" t="s">
        <v>12</v>
      </c>
      <c r="C8" s="1" t="s">
        <v>70</v>
      </c>
      <c r="D8" s="2">
        <v>3</v>
      </c>
    </row>
    <row r="9" spans="2:4" x14ac:dyDescent="0.3">
      <c r="B9" s="1" t="s">
        <v>12</v>
      </c>
      <c r="C9" s="1" t="s">
        <v>25</v>
      </c>
      <c r="D9" s="2">
        <v>5</v>
      </c>
    </row>
    <row r="10" spans="2:4" x14ac:dyDescent="0.3">
      <c r="B10" s="1" t="s">
        <v>27</v>
      </c>
      <c r="C10" s="1" t="s">
        <v>17</v>
      </c>
      <c r="D10" s="2">
        <v>1</v>
      </c>
    </row>
    <row r="11" spans="2:4" x14ac:dyDescent="0.3">
      <c r="B11" s="1" t="s">
        <v>27</v>
      </c>
      <c r="C11" s="1" t="s">
        <v>32</v>
      </c>
      <c r="D11" s="2">
        <v>7</v>
      </c>
    </row>
    <row r="12" spans="2:4" x14ac:dyDescent="0.3">
      <c r="B12" s="1" t="s">
        <v>27</v>
      </c>
      <c r="C12" s="1" t="s">
        <v>70</v>
      </c>
      <c r="D12" s="2">
        <v>4</v>
      </c>
    </row>
    <row r="13" spans="2:4" x14ac:dyDescent="0.3">
      <c r="B13" s="1" t="s">
        <v>27</v>
      </c>
      <c r="C13" s="1" t="s">
        <v>25</v>
      </c>
      <c r="D13" s="2">
        <v>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91DC-77CA-42F1-9785-390D7F9CF614}">
  <dimension ref="A1"/>
  <sheetViews>
    <sheetView tabSelected="1" workbookViewId="0">
      <selection activeCell="I11" sqref="I11"/>
    </sheetView>
  </sheetViews>
  <sheetFormatPr baseColWidth="10" defaultRowHeight="14.4" x14ac:dyDescent="0.3"/>
  <cols>
    <col min="1" max="1" width="11.21875" bestFit="1" customWidth="1"/>
    <col min="2" max="2" width="8" bestFit="1" customWidth="1"/>
    <col min="3" max="4" width="17.77734375" bestFit="1" customWidth="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BE7FE9-D7D3-49A1-8BC4-0E39C9432D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Ventas_Limpias</vt:lpstr>
      <vt:lpstr>Analisis_Ventas</vt:lpstr>
      <vt:lpstr>Dashboard</vt:lpstr>
      <vt:lpstr>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Oyarzo Escudero</dc:creator>
  <cp:lastModifiedBy>Gabriela  Oyarzo Escudero</cp:lastModifiedBy>
  <dcterms:created xsi:type="dcterms:W3CDTF">2026-04-11T14:50:45Z</dcterms:created>
  <dcterms:modified xsi:type="dcterms:W3CDTF">2026-04-11T16:40:49Z</dcterms:modified>
</cp:coreProperties>
</file>